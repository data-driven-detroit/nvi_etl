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20" yWindow="240" windowWidth="20780" windowHeight="14350" tabRatio="600" firstSheet="0" activeTab="0" autoFilterDateGrouping="1"/>
  </bookViews>
  <sheets>
    <sheet name="About" sheetId="1" state="visible" r:id="rId1"/>
    <sheet name="Variables" sheetId="2" state="visible" r:id="rId2"/>
    <sheet name="Years" sheetId="3" state="visible" r:id="rId3"/>
    <sheet name="Geographies" sheetId="4" state="visible" r:id="rId4"/>
    <sheet name="Available Releases" sheetId="5" state="visible" r:id="rId5"/>
    <sheet name="Variable Library" sheetId="6" state="visible" r:id="rId6"/>
    <sheet name="Geography Library" sheetId="7" state="visible" r:id="rId7"/>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IBM Plex Sans"/>
      <color theme="1"/>
      <sz val="11"/>
    </font>
    <font>
      <name val="IBM Plex Sans"/>
      <family val="2"/>
      <b val="1"/>
      <color theme="1"/>
      <sz val="11"/>
    </font>
    <font>
      <name val="IBM Plex Sans"/>
      <family val="2"/>
      <color theme="1"/>
      <sz val="11"/>
    </font>
    <font>
      <name val="IBM Plex Sans"/>
      <family val="2"/>
      <color theme="1"/>
      <sz val="13"/>
    </font>
    <font>
      <name val="IBM Plex Sans"/>
      <family val="2"/>
      <b val="1"/>
      <color theme="1"/>
      <sz val="24"/>
    </font>
    <font>
      <name val="IBM Plex Sans"/>
      <family val="2"/>
      <b val="1"/>
      <color theme="1"/>
      <sz val="13"/>
    </font>
    <font>
      <name val="IBM Plex Sans"/>
      <family val="2"/>
      <i val="1"/>
      <color theme="1"/>
      <sz val="13"/>
    </font>
    <font>
      <name val="Cascadia Code"/>
      <family val="3"/>
      <color theme="1"/>
      <sz val="13"/>
    </font>
    <font>
      <name val="Aptos Narrow"/>
      <family val="2"/>
      <sz val="8"/>
      <scheme val="minor"/>
    </font>
    <font>
      <name val="IBM Plex Sans"/>
      <family val="2"/>
      <color theme="1"/>
      <sz val="24"/>
    </font>
  </fonts>
  <fills count="2">
    <fill>
      <patternFill/>
    </fill>
    <fill>
      <patternFill patternType="gray125"/>
    </fill>
  </fills>
  <borders count="1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top/>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xf>
    <xf numFmtId="3" fontId="1" fillId="0" borderId="0" pivotButton="0" quotePrefix="0" xfId="0"/>
    <xf numFmtId="3" fontId="1" fillId="0" borderId="0" applyAlignment="1" pivotButton="0" quotePrefix="0" xfId="0">
      <alignment horizontal="center" wrapText="1"/>
    </xf>
    <xf numFmtId="0" fontId="2" fillId="0" borderId="0" applyAlignment="1" pivotButton="0" quotePrefix="0" xfId="0">
      <alignment horizontal="center" wrapText="1"/>
    </xf>
    <xf numFmtId="3" fontId="2" fillId="0" borderId="0" applyAlignment="1" pivotButton="0" quotePrefix="0" xfId="0">
      <alignment horizontal="center" wrapText="1"/>
    </xf>
    <xf numFmtId="0" fontId="3" fillId="0" borderId="0" applyAlignment="1" pivotButton="0" quotePrefix="0" xfId="0">
      <alignment horizontal="center" wrapText="1"/>
    </xf>
    <xf numFmtId="0" fontId="3" fillId="0" borderId="0" applyAlignment="1" pivotButton="0" quotePrefix="0" xfId="0">
      <alignment horizontal="left"/>
    </xf>
    <xf numFmtId="3" fontId="3" fillId="0" borderId="0" pivotButton="0" quotePrefix="0" xfId="0"/>
    <xf numFmtId="0" fontId="3" fillId="0" borderId="0" pivotButton="0" quotePrefix="0" xfId="0"/>
    <xf numFmtId="3" fontId="3" fillId="0" borderId="0" pivotButton="0" quotePrefix="1" xfId="0"/>
    <xf numFmtId="3" fontId="3" fillId="0" borderId="0" applyAlignment="1" pivotButton="0" quotePrefix="0" xfId="0">
      <alignment horizontal="center" wrapText="1"/>
    </xf>
    <xf numFmtId="0" fontId="2" fillId="0" borderId="1" applyAlignment="1" pivotButton="0" quotePrefix="0" xfId="0">
      <alignment horizontal="center" wrapText="1"/>
    </xf>
    <xf numFmtId="0" fontId="1" fillId="0" borderId="2" applyAlignment="1" pivotButton="0" quotePrefix="0" xfId="0">
      <alignment horizontal="left"/>
    </xf>
    <xf numFmtId="0" fontId="1" fillId="0" borderId="3" applyAlignment="1" pivotButton="0" quotePrefix="0" xfId="0">
      <alignment horizontal="left"/>
    </xf>
    <xf numFmtId="3" fontId="2" fillId="0" borderId="4" applyAlignment="1" pivotButton="0" quotePrefix="0" xfId="0">
      <alignment horizontal="center" wrapText="1"/>
    </xf>
    <xf numFmtId="3" fontId="2" fillId="0" borderId="5" applyAlignment="1" pivotButton="0" quotePrefix="0" xfId="0">
      <alignment horizontal="center" wrapText="1"/>
    </xf>
    <xf numFmtId="3" fontId="1" fillId="0" borderId="6" pivotButton="0" quotePrefix="0" xfId="0"/>
    <xf numFmtId="3" fontId="1" fillId="0" borderId="7" pivotButton="0" quotePrefix="0" xfId="0"/>
    <xf numFmtId="3" fontId="1" fillId="0" borderId="8" pivotButton="0" quotePrefix="0" xfId="0"/>
    <xf numFmtId="3" fontId="1" fillId="0" borderId="9" pivotButton="0" quotePrefix="0" xfId="0"/>
    <xf numFmtId="0" fontId="2" fillId="0" borderId="0" applyAlignment="1" pivotButton="0" quotePrefix="0" xfId="0">
      <alignment horizontal="center"/>
    </xf>
    <xf numFmtId="3" fontId="2" fillId="0" borderId="0" applyAlignment="1" pivotButton="0" quotePrefix="0" xfId="0">
      <alignment horizontal="center"/>
    </xf>
    <xf numFmtId="0" fontId="3" fillId="0" borderId="0" applyAlignment="1" pivotButton="0" quotePrefix="0" xfId="0">
      <alignment horizontal="left" vertical="center"/>
    </xf>
    <xf numFmtId="3" fontId="3" fillId="0" borderId="0" applyAlignment="1" pivotButton="0" quotePrefix="0" xfId="0">
      <alignment vertical="center"/>
    </xf>
    <xf numFmtId="0" fontId="5" fillId="0" borderId="0" pivotButton="0" quotePrefix="0" xfId="0"/>
    <xf numFmtId="0" fontId="4" fillId="0" borderId="0" applyAlignment="1" pivotButton="0" quotePrefix="0" xfId="0">
      <alignment horizontal="left" vertical="top" wrapText="1"/>
    </xf>
    <xf numFmtId="0" fontId="0" fillId="0" borderId="10" pivotButton="0" quotePrefix="0" xfId="0"/>
    <xf numFmtId="0" fontId="2" fillId="0" borderId="10" applyAlignment="1" pivotButton="0" quotePrefix="0" xfId="0">
      <alignment horizontal="center"/>
    </xf>
    <xf numFmtId="0" fontId="3" fillId="0" borderId="10" pivotButton="0" quotePrefix="0" xfId="0"/>
    <xf numFmtId="0" fontId="2" fillId="0" borderId="0" applyAlignment="1" pivotButton="0" quotePrefix="0" xfId="0">
      <alignment horizontal="right"/>
    </xf>
  </cellXfs>
  <cellStyles count="1">
    <cellStyle name="Normal" xfId="0" builtinId="0"/>
  </cellStyles>
  <dxfs count="8">
    <dxf>
      <fill>
        <patternFill patternType="solid">
          <fgColor indexed="64"/>
          <bgColor rgb="FFF3F3F3"/>
        </patternFill>
      </fill>
    </dxf>
    <dxf>
      <fill>
        <patternFill>
          <bgColor theme="0" tint="-0.0499893185216834"/>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3"/>
  <sheetViews>
    <sheetView tabSelected="1" workbookViewId="0">
      <selection activeCell="A13" sqref="A13"/>
    </sheetView>
  </sheetViews>
  <sheetFormatPr baseColWidth="8" defaultRowHeight="14.5"/>
  <cols>
    <col width="84.54296875" customWidth="1" min="1" max="1"/>
  </cols>
  <sheetData>
    <row r="1" ht="32" customHeight="1">
      <c r="A1" s="25" t="inlineStr">
        <is>
          <t>tablecensus data dictionary</t>
        </is>
      </c>
    </row>
    <row r="3" ht="287.25" customHeight="1">
      <c r="A3" s="26" t="inlineStr">
        <is>
          <t>Define variables and select geographies in this file, and use the command on your terminal 'tablecensus assemble &lt;this filename&gt;.xlsx' to turn these definitions into a report.
Variables: give each variable a name and use ACS codes to write out the calculation for that name.
Years: choose which year(s) you'd like the data pulled for and which release (i.e. 1-year, 5-year)
Geographies: select the geographies that you'd like to pull the data for, and fill in the correct geoid components. '*' will select all geographies that have the parent components, following the ACS API matching rules.
Available Releases, Variable Library, and Geography Library tabs are available as references to aid you in filling in the other tabs.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9"/>
  <sheetViews>
    <sheetView workbookViewId="0">
      <selection activeCell="B14" sqref="B14"/>
    </sheetView>
  </sheetViews>
  <sheetFormatPr baseColWidth="8" defaultColWidth="25.453125" defaultRowHeight="15.5"/>
  <cols>
    <col width="31.81640625" customWidth="1" style="7" min="1" max="1"/>
    <col width="126.7265625" customWidth="1" style="8" min="2" max="2"/>
    <col width="25.453125" customWidth="1" style="8" min="3" max="16384"/>
  </cols>
  <sheetData>
    <row r="1" customFormat="1" s="11">
      <c r="A1" s="4" t="inlineStr">
        <is>
          <t>name</t>
        </is>
      </c>
      <c r="B1" s="5" t="inlineStr">
        <is>
          <t>calculation</t>
        </is>
      </c>
    </row>
    <row r="2">
      <c r="A2" s="7" t="inlineStr">
        <is>
          <t>count_under_18_black</t>
        </is>
      </c>
      <c r="B2" s="8" t="inlineStr">
        <is>
          <t>B01001B003 + B01001B004 + B01001B005 + B01001B006 + B01001B018 + B01001B019 + B01001B020 + B01001B021</t>
        </is>
      </c>
    </row>
    <row r="3">
      <c r="A3" s="7" t="inlineStr">
        <is>
          <t>count_under_18_white</t>
        </is>
      </c>
      <c r="B3" s="8" t="inlineStr">
        <is>
          <t>B01001H003 + B01001H004 + B01001H005 + B01001H006 + B01001H018 + B01001H019 + B01001H020 + B01001H021</t>
        </is>
      </c>
    </row>
    <row r="4">
      <c r="A4" s="7" t="inlineStr">
        <is>
          <t>count_under_18_aian</t>
        </is>
      </c>
      <c r="B4" s="8" t="inlineStr">
        <is>
          <t>B01001C003 + B01001C004 + B01001C005 + B01001C006 + B01001C018 + B01001C019 + B01001C020 + B01001C021</t>
        </is>
      </c>
    </row>
    <row r="5">
      <c r="A5" s="7" t="inlineStr">
        <is>
          <t>count_under_18_asian</t>
        </is>
      </c>
      <c r="B5" s="8" t="inlineStr">
        <is>
          <t>B01001D003 + B01001D004 + B01001D005 + B01001D006 + B01001D018 + B01001D019 + B01001D020 + B01001D021</t>
        </is>
      </c>
    </row>
    <row r="6">
      <c r="A6" s="7" t="inlineStr">
        <is>
          <t>count_under_18_nhpi</t>
        </is>
      </c>
      <c r="B6" s="8" t="inlineStr">
        <is>
          <t>B01001E003 + B01001E004 + B01001E005 + B01001E006 + B01001E018 + B01001E019 + B01001E020 + B01001E021</t>
        </is>
      </c>
    </row>
    <row r="7">
      <c r="A7" s="7" t="inlineStr">
        <is>
          <t>count_under_18_other</t>
        </is>
      </c>
      <c r="B7" s="8" t="inlineStr">
        <is>
          <t>B01001F003 + B01001F004 + B01001F005 + B01001F006 + B01001F018 + B01001F019 + B01001F020 + B01001F021</t>
        </is>
      </c>
    </row>
    <row r="8">
      <c r="A8" s="7" t="inlineStr">
        <is>
          <t>count_under_18_two_plus</t>
        </is>
      </c>
      <c r="B8" s="8" t="inlineStr">
        <is>
          <t>B01001G003 + B01001G004 + B01001G005 + B01001G006 + B01001G018 + B01001G019 + B01001G020 + B01001G021</t>
        </is>
      </c>
    </row>
    <row r="9">
      <c r="A9" s="7" t="inlineStr">
        <is>
          <t>count_under_18_hispanic</t>
        </is>
      </c>
      <c r="B9" s="8" t="inlineStr">
        <is>
          <t>B01001I003 + B01001I004 + B01001I005 + B01001I006 + B01001I018 + B01001I019 + B01001I020 + B01001I021</t>
        </is>
      </c>
    </row>
  </sheetData>
  <conditionalFormatting sqref="A1:B9">
    <cfRule type="expression" priority="1" dxfId="0">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
  <sheetViews>
    <sheetView workbookViewId="0">
      <selection activeCell="B7" sqref="B7"/>
    </sheetView>
  </sheetViews>
  <sheetFormatPr baseColWidth="8" defaultColWidth="25.453125" defaultRowHeight="15.5"/>
  <cols>
    <col width="23.54296875" customWidth="1" style="1" min="1" max="1"/>
    <col width="25.453125" customWidth="1" style="2" min="2" max="16384"/>
  </cols>
  <sheetData>
    <row r="1" customFormat="1" s="3">
      <c r="A1" s="4" t="inlineStr">
        <is>
          <t>year</t>
        </is>
      </c>
      <c r="B1" s="5" t="inlineStr">
        <is>
          <t>release</t>
        </is>
      </c>
    </row>
    <row r="2">
      <c r="A2" s="1" t="n">
        <v>2023</v>
      </c>
      <c r="B2" s="8" t="inlineStr">
        <is>
          <t>acs5</t>
        </is>
      </c>
    </row>
    <row r="3">
      <c r="A3" t="n">
        <v>2024</v>
      </c>
      <c r="B3" t="inlineStr">
        <is>
          <t>acs5</t>
        </is>
      </c>
    </row>
  </sheetData>
  <conditionalFormatting sqref="A1:B2">
    <cfRule type="expression" priority="1" dxfId="0">
      <formula>MOD(ROW(),2)=0</formula>
    </cfRule>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N4"/>
  <sheetViews>
    <sheetView workbookViewId="0">
      <selection activeCell="A5" sqref="A5"/>
    </sheetView>
  </sheetViews>
  <sheetFormatPr baseColWidth="8" defaultColWidth="8.7265625" defaultRowHeight="15.5"/>
  <cols>
    <col width="23.54296875" customWidth="1" style="7" min="1" max="1"/>
    <col width="25.453125" customWidth="1" style="8" min="2" max="14"/>
    <col width="8.7265625" customWidth="1" style="9" min="15" max="16384"/>
  </cols>
  <sheetData>
    <row r="1" customFormat="1" s="6">
      <c r="A1" s="4" t="inlineStr">
        <is>
          <t>nation</t>
        </is>
      </c>
      <c r="B1" s="5" t="inlineStr">
        <is>
          <t>state</t>
        </is>
      </c>
      <c r="C1" s="5" t="inlineStr">
        <is>
          <t>congressional_district</t>
        </is>
      </c>
      <c r="D1" s="5" t="inlineStr">
        <is>
          <t>state_leg_lower</t>
        </is>
      </c>
      <c r="E1" s="5" t="inlineStr">
        <is>
          <t>state_leg_upper</t>
        </is>
      </c>
      <c r="F1" s="5" t="inlineStr">
        <is>
          <t>county</t>
        </is>
      </c>
      <c r="G1" s="5" t="inlineStr">
        <is>
          <t>zcta</t>
        </is>
      </c>
      <c r="H1" s="5" t="inlineStr">
        <is>
          <t>county_subdivision</t>
        </is>
      </c>
      <c r="I1" s="5" t="inlineStr">
        <is>
          <t>place</t>
        </is>
      </c>
      <c r="J1" s="5" t="inlineStr">
        <is>
          <t>tract</t>
        </is>
      </c>
      <c r="K1" s="5" t="inlineStr">
        <is>
          <t>block_group</t>
        </is>
      </c>
      <c r="L1" s="5" t="inlineStr">
        <is>
          <t>elem_sch_district</t>
        </is>
      </c>
      <c r="M1" s="5" t="inlineStr">
        <is>
          <t>sec_sch_district</t>
        </is>
      </c>
      <c r="N1" s="5" t="inlineStr">
        <is>
          <t>uni_sch_district</t>
        </is>
      </c>
    </row>
    <row r="2">
      <c r="B2" s="10" t="inlineStr">
        <is>
          <t>26</t>
        </is>
      </c>
      <c r="F2" s="10" t="inlineStr">
        <is>
          <t>163</t>
        </is>
      </c>
      <c r="H2" s="10" t="inlineStr">
        <is>
          <t>22000</t>
        </is>
      </c>
    </row>
    <row r="3">
      <c r="B3" s="10" t="inlineStr">
        <is>
          <t>26</t>
        </is>
      </c>
      <c r="F3" s="10" t="inlineStr">
        <is>
          <t>163</t>
        </is>
      </c>
      <c r="J3" s="8" t="inlineStr">
        <is>
          <t>*</t>
        </is>
      </c>
    </row>
    <row r="4">
      <c r="B4" s="10" t="inlineStr">
        <is>
          <t>26</t>
        </is>
      </c>
    </row>
  </sheetData>
  <conditionalFormatting sqref="A1:N2">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20"/>
  <sheetViews>
    <sheetView workbookViewId="0">
      <selection activeCell="C17" sqref="C17"/>
    </sheetView>
  </sheetViews>
  <sheetFormatPr baseColWidth="8" defaultColWidth="25.453125" defaultRowHeight="15.5"/>
  <cols>
    <col width="23.54296875" customWidth="1" style="1" min="1" max="1"/>
    <col width="3.7265625" customWidth="1" style="1" min="2" max="2"/>
    <col width="25.453125" customWidth="1" style="2" min="3" max="3"/>
    <col width="36.1796875" customWidth="1" style="2" min="4" max="4"/>
    <col width="25.453125" customWidth="1" style="2" min="5" max="16384"/>
  </cols>
  <sheetData>
    <row r="1" customFormat="1" s="3">
      <c r="A1" s="12" t="inlineStr">
        <is>
          <t>Available Years</t>
        </is>
      </c>
      <c r="B1" s="4" t="n"/>
      <c r="C1" s="15" t="inlineStr">
        <is>
          <t>Valid Releases</t>
        </is>
      </c>
      <c r="D1" s="16" t="inlineStr">
        <is>
          <t>Notes</t>
        </is>
      </c>
    </row>
    <row r="2">
      <c r="A2" s="13" t="n">
        <v>2005</v>
      </c>
      <c r="C2" s="17" t="inlineStr">
        <is>
          <t>acs1</t>
        </is>
      </c>
      <c r="D2" s="18" t="inlineStr">
        <is>
          <t>Available from 2005-2023</t>
        </is>
      </c>
    </row>
    <row r="3">
      <c r="A3" s="13" t="n">
        <v>2006</v>
      </c>
      <c r="C3" s="17" t="inlineStr">
        <is>
          <t>acs3</t>
        </is>
      </c>
      <c r="D3" s="18" t="inlineStr">
        <is>
          <t>Available from 2007-2013</t>
        </is>
      </c>
    </row>
    <row r="4" ht="16" customHeight="1" thickBot="1">
      <c r="A4" s="13" t="n">
        <v>2007</v>
      </c>
      <c r="C4" s="19" t="inlineStr">
        <is>
          <t>acs5</t>
        </is>
      </c>
      <c r="D4" s="20" t="inlineStr">
        <is>
          <t>Available from 2009-2023</t>
        </is>
      </c>
    </row>
    <row r="5">
      <c r="A5" s="13" t="n">
        <v>2008</v>
      </c>
    </row>
    <row r="6">
      <c r="A6" s="13" t="n">
        <v>2009</v>
      </c>
    </row>
    <row r="7">
      <c r="A7" s="13" t="n">
        <v>2010</v>
      </c>
    </row>
    <row r="8">
      <c r="A8" s="13" t="n">
        <v>2011</v>
      </c>
    </row>
    <row r="9">
      <c r="A9" s="13" t="n">
        <v>2012</v>
      </c>
    </row>
    <row r="10">
      <c r="A10" s="13" t="n">
        <v>2013</v>
      </c>
    </row>
    <row r="11">
      <c r="A11" s="13" t="n">
        <v>2014</v>
      </c>
    </row>
    <row r="12">
      <c r="A12" s="13" t="n">
        <v>2015</v>
      </c>
    </row>
    <row r="13">
      <c r="A13" s="13" t="n">
        <v>2016</v>
      </c>
    </row>
    <row r="14">
      <c r="A14" s="13" t="n">
        <v>2017</v>
      </c>
    </row>
    <row r="15">
      <c r="A15" s="13" t="n">
        <v>2018</v>
      </c>
    </row>
    <row r="16">
      <c r="A16" s="13" t="n">
        <v>2019</v>
      </c>
    </row>
    <row r="17">
      <c r="A17" s="13" t="n">
        <v>2020</v>
      </c>
    </row>
    <row r="18">
      <c r="A18" s="13" t="n">
        <v>2021</v>
      </c>
    </row>
    <row r="19">
      <c r="A19" s="13" t="n">
        <v>2022</v>
      </c>
    </row>
    <row r="20" ht="16" customHeight="1" thickBot="1">
      <c r="A20" s="14" t="n">
        <v>2023</v>
      </c>
    </row>
  </sheetData>
  <conditionalFormatting sqref="A1:A20">
    <cfRule type="expression" priority="2" dxfId="0">
      <formula>MOD(ROW(),2)=0</formula>
    </cfRule>
  </conditionalFormatting>
  <conditionalFormatting sqref="C1:D2 C4:D4">
    <cfRule type="expression" priority="1" dxfId="0">
      <formula>MOD(ROW(),2)=0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8" sqref="A18"/>
    </sheetView>
  </sheetViews>
  <sheetFormatPr baseColWidth="8" defaultRowHeight="14.5"/>
  <cols>
    <col width="67.81640625" bestFit="1" customWidth="1" min="1" max="1"/>
    <col width="72.7265625" bestFit="1" customWidth="1" min="2" max="2"/>
  </cols>
  <sheetData>
    <row r="1" ht="15.5" customHeight="1">
      <c r="A1" s="21" t="inlineStr">
        <is>
          <t>name</t>
        </is>
      </c>
      <c r="B1" s="22" t="inlineStr">
        <is>
          <t>calculation</t>
        </is>
      </c>
    </row>
    <row r="2" ht="15.5" customHeight="1">
      <c r="A2" s="7" t="inlineStr">
        <is>
          <t>Total Population</t>
        </is>
      </c>
      <c r="B2" s="8" t="inlineStr">
        <is>
          <t>B01001001</t>
        </is>
      </c>
    </row>
    <row r="3" ht="15.5" customHeight="1">
      <c r="A3" s="7" t="inlineStr">
        <is>
          <t>Percent below poverty</t>
        </is>
      </c>
      <c r="B3" s="8" t="inlineStr">
        <is>
          <t>B17001002 / B17001001</t>
        </is>
      </c>
    </row>
    <row r="4" ht="15.5" customHeight="1">
      <c r="A4" s="7" t="inlineStr">
        <is>
          <t>Percent owner occupied</t>
        </is>
      </c>
      <c r="B4" s="8" t="inlineStr">
        <is>
          <t>B25003002 / B25003001</t>
        </is>
      </c>
    </row>
    <row r="5" ht="15.5" customHeight="1">
      <c r="A5" s="23" t="inlineStr">
        <is>
          <t>Poverty rate</t>
        </is>
      </c>
      <c r="B5" s="24" t="inlineStr">
        <is>
          <t>B17001002 / B17001001</t>
        </is>
      </c>
    </row>
    <row r="6" ht="15.5" customHeight="1">
      <c r="A6" s="23" t="inlineStr">
        <is>
          <t>Labor-force participation rate</t>
        </is>
      </c>
      <c r="B6" s="24" t="inlineStr">
        <is>
          <t>B23025002 / B23025001</t>
        </is>
      </c>
    </row>
    <row r="7" ht="15.5" customHeight="1">
      <c r="A7" s="23" t="inlineStr">
        <is>
          <t>Unemployment rate</t>
        </is>
      </c>
      <c r="B7" s="24" t="inlineStr">
        <is>
          <t>B23025005 / B23025002</t>
        </is>
      </c>
    </row>
    <row r="8" ht="15.5" customHeight="1">
      <c r="A8" s="23" t="inlineStr">
        <is>
          <t>Home-ownership rate</t>
        </is>
      </c>
      <c r="B8" s="24" t="inlineStr">
        <is>
          <t>B25003002 / B25003001</t>
        </is>
      </c>
    </row>
    <row r="9" ht="15.5" customHeight="1">
      <c r="A9" s="23" t="inlineStr">
        <is>
          <t>Housing-unit vacancy rate</t>
        </is>
      </c>
      <c r="B9" s="24" t="inlineStr">
        <is>
          <t>B25002003 / B25002001</t>
        </is>
      </c>
    </row>
    <row r="10" ht="15.5" customHeight="1">
      <c r="A10" s="23" t="inlineStr">
        <is>
          <t>Share of renter households cost-burdened (≥30 % income to rent)</t>
        </is>
      </c>
      <c r="B10" s="24" t="inlineStr">
        <is>
          <t>(B25070007 + B25070008 + B25070009 + B25070010) / B25070001</t>
        </is>
      </c>
    </row>
    <row r="11" ht="15.5" customHeight="1">
      <c r="A11" s="23" t="inlineStr">
        <is>
          <t>Adults 25+ with bachelor’s degree or higher</t>
        </is>
      </c>
      <c r="B11" s="24" t="inlineStr">
        <is>
          <t>(B15003022 + B15003023 + B15003024 + B15003025) / B15003001</t>
        </is>
      </c>
    </row>
    <row r="12" ht="15.5" customHeight="1">
      <c r="A12" s="23" t="inlineStr">
        <is>
          <t>Median household income</t>
        </is>
      </c>
      <c r="B12" s="24" t="inlineStr">
        <is>
          <t>B19013001</t>
        </is>
      </c>
    </row>
  </sheetData>
  <conditionalFormatting sqref="A1:B12">
    <cfRule type="expression" priority="1" dxfId="0">
      <formula>MOD(ROW(),2)=0</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25"/>
  <sheetViews>
    <sheetView workbookViewId="0">
      <selection activeCell="E11" sqref="E11"/>
    </sheetView>
  </sheetViews>
  <sheetFormatPr baseColWidth="8" defaultRowHeight="14.5"/>
  <cols>
    <col width="29.81640625" customWidth="1" min="1" max="1"/>
    <col width="10.453125" customWidth="1" min="2" max="2"/>
    <col width="10.1796875" customWidth="1" min="3" max="3"/>
    <col width="24.1796875" bestFit="1" customWidth="1" min="4" max="4"/>
    <col width="17.81640625" bestFit="1" customWidth="1" min="5" max="5"/>
    <col width="18" bestFit="1" customWidth="1" min="6" max="6"/>
    <col width="8.1796875" bestFit="1" customWidth="1" min="7" max="7"/>
    <col width="5.7265625" bestFit="1" customWidth="1" min="8" max="8"/>
    <col width="21" bestFit="1" customWidth="1" min="9" max="9"/>
    <col width="6.81640625" bestFit="1" customWidth="1" min="10" max="10"/>
    <col width="6.26953125" bestFit="1" customWidth="1" min="11" max="11"/>
    <col width="13.81640625" bestFit="1" customWidth="1" min="12" max="12"/>
    <col width="19.54296875" bestFit="1" customWidth="1" min="13" max="13"/>
    <col width="18.1796875" bestFit="1" customWidth="1" min="14" max="14"/>
    <col width="19.54296875" customWidth="1" min="15" max="15"/>
  </cols>
  <sheetData>
    <row r="1" ht="15.5" customHeight="1">
      <c r="A1" s="30" t="inlineStr">
        <is>
          <t>Copy to the right of HERE &gt;</t>
        </is>
      </c>
      <c r="B1" s="28" t="inlineStr">
        <is>
          <t>nation</t>
        </is>
      </c>
      <c r="C1" s="22" t="inlineStr">
        <is>
          <t>state</t>
        </is>
      </c>
      <c r="D1" s="22" t="inlineStr">
        <is>
          <t>congressional_district</t>
        </is>
      </c>
      <c r="E1" s="22" t="inlineStr">
        <is>
          <t>state_leg_lower</t>
        </is>
      </c>
      <c r="F1" s="22" t="inlineStr">
        <is>
          <t>state_leg_upper</t>
        </is>
      </c>
      <c r="G1" s="22" t="inlineStr">
        <is>
          <t>county</t>
        </is>
      </c>
      <c r="H1" s="22" t="inlineStr">
        <is>
          <t>zcta</t>
        </is>
      </c>
      <c r="I1" s="22" t="inlineStr">
        <is>
          <t>county_subdivision</t>
        </is>
      </c>
      <c r="J1" s="22" t="inlineStr">
        <is>
          <t>place</t>
        </is>
      </c>
      <c r="K1" s="22" t="inlineStr">
        <is>
          <t>tract</t>
        </is>
      </c>
      <c r="L1" s="22" t="inlineStr">
        <is>
          <t>block_group</t>
        </is>
      </c>
      <c r="M1" s="22" t="inlineStr">
        <is>
          <t>elem_sch_district</t>
        </is>
      </c>
      <c r="N1" s="22" t="inlineStr">
        <is>
          <t>sec_sch_district</t>
        </is>
      </c>
      <c r="O1" s="22" t="inlineStr">
        <is>
          <t>uni_sch_district</t>
        </is>
      </c>
    </row>
    <row r="2" ht="15.5" customHeight="1">
      <c r="A2" s="9" t="inlineStr">
        <is>
          <t>Detroit</t>
        </is>
      </c>
      <c r="B2" s="29" t="n"/>
      <c r="C2" s="9" t="n">
        <v>26</v>
      </c>
      <c r="D2" s="9" t="n"/>
      <c r="E2" s="9" t="n"/>
      <c r="F2" s="9" t="n"/>
      <c r="G2" s="9" t="n">
        <v>163</v>
      </c>
      <c r="H2" s="9" t="n"/>
      <c r="I2" s="9" t="n">
        <v>22000</v>
      </c>
      <c r="J2" s="9" t="n"/>
      <c r="K2" s="9" t="n"/>
      <c r="L2" s="9" t="n"/>
      <c r="M2" s="9" t="n"/>
      <c r="N2" s="9" t="n"/>
      <c r="O2" s="9" t="n"/>
    </row>
    <row r="3" ht="15.5" customHeight="1">
      <c r="A3" s="9" t="inlineStr">
        <is>
          <t>Michigan</t>
        </is>
      </c>
      <c r="B3" s="29" t="n"/>
      <c r="C3" s="9" t="n">
        <v>26</v>
      </c>
      <c r="D3" s="9" t="n"/>
      <c r="E3" s="9" t="n"/>
      <c r="F3" s="9" t="n"/>
      <c r="G3" s="9" t="n"/>
      <c r="H3" s="9" t="n"/>
      <c r="I3" s="9" t="n"/>
      <c r="J3" s="9" t="n"/>
      <c r="K3" s="9" t="n"/>
      <c r="L3" s="9" t="n"/>
      <c r="M3" s="9" t="n"/>
      <c r="N3" s="9" t="n"/>
      <c r="O3" s="9" t="n"/>
    </row>
    <row r="4" ht="15.5" customHeight="1">
      <c r="A4" s="9" t="inlineStr">
        <is>
          <t>All Counties in Michigan</t>
        </is>
      </c>
      <c r="B4" s="29" t="n"/>
      <c r="C4" s="9" t="n">
        <v>26</v>
      </c>
      <c r="D4" s="9" t="n"/>
      <c r="E4" s="9" t="n"/>
      <c r="F4" s="9" t="n"/>
      <c r="G4" s="9" t="inlineStr">
        <is>
          <t>*</t>
        </is>
      </c>
      <c r="H4" s="9" t="n"/>
      <c r="I4" s="9" t="n"/>
      <c r="J4" s="9" t="n"/>
      <c r="K4" s="9" t="n"/>
      <c r="L4" s="9" t="n"/>
      <c r="M4" s="9" t="n"/>
      <c r="N4" s="9" t="n"/>
      <c r="O4" s="9" t="n"/>
    </row>
    <row r="5" ht="15.5" customHeight="1">
      <c r="A5" s="9" t="inlineStr">
        <is>
          <t>All Tracts in Wayne County</t>
        </is>
      </c>
      <c r="B5" s="29" t="n"/>
      <c r="C5" s="9" t="n">
        <v>26</v>
      </c>
      <c r="D5" s="9" t="n"/>
      <c r="E5" s="9" t="n"/>
      <c r="F5" s="9" t="n"/>
      <c r="G5" s="9" t="n">
        <v>163</v>
      </c>
      <c r="H5" s="9" t="n"/>
      <c r="I5" s="9" t="n"/>
      <c r="J5" s="9" t="n"/>
      <c r="K5" s="9" t="inlineStr">
        <is>
          <t>*</t>
        </is>
      </c>
      <c r="L5" s="9" t="n"/>
      <c r="M5" s="9" t="n"/>
      <c r="N5" s="9" t="n"/>
      <c r="O5" s="9" t="n"/>
    </row>
    <row r="6" ht="15.5" customHeight="1">
      <c r="A6" s="9" t="n"/>
      <c r="B6" s="29" t="n"/>
      <c r="C6" s="9" t="n"/>
      <c r="D6" s="9" t="n"/>
      <c r="E6" s="9" t="n"/>
      <c r="F6" s="9" t="n"/>
      <c r="G6" s="9" t="n"/>
      <c r="H6" s="9" t="n"/>
      <c r="I6" s="9" t="n"/>
      <c r="J6" s="9" t="n"/>
      <c r="K6" s="9" t="n"/>
      <c r="L6" s="9" t="n"/>
      <c r="M6" s="9" t="n"/>
      <c r="N6" s="9" t="n"/>
      <c r="O6" s="9" t="n"/>
    </row>
    <row r="7" ht="15.5" customHeight="1">
      <c r="A7" s="9" t="n"/>
      <c r="B7" s="29" t="n"/>
      <c r="C7" s="9" t="n"/>
      <c r="D7" s="9" t="n"/>
      <c r="E7" s="9" t="n"/>
      <c r="F7" s="9" t="n"/>
      <c r="G7" s="9" t="n"/>
      <c r="H7" s="9" t="n"/>
      <c r="I7" s="9" t="n"/>
      <c r="J7" s="9" t="n"/>
      <c r="K7" s="9" t="n"/>
      <c r="L7" s="9" t="n"/>
      <c r="M7" s="9" t="n"/>
      <c r="N7" s="9" t="n"/>
      <c r="O7" s="9" t="n"/>
    </row>
    <row r="8" ht="15.5" customHeight="1">
      <c r="A8" s="9" t="n"/>
      <c r="B8" s="29" t="n"/>
      <c r="C8" s="9" t="n"/>
      <c r="D8" s="9" t="n"/>
      <c r="E8" s="9" t="n"/>
      <c r="F8" s="9" t="n"/>
      <c r="G8" s="9" t="n"/>
      <c r="H8" s="9" t="n"/>
      <c r="I8" s="9" t="n"/>
      <c r="J8" s="9" t="n"/>
      <c r="K8" s="9" t="n"/>
      <c r="L8" s="9" t="n"/>
      <c r="M8" s="9" t="n"/>
      <c r="N8" s="9" t="n"/>
      <c r="O8" s="9" t="n"/>
    </row>
    <row r="9" ht="15.5" customHeight="1">
      <c r="A9" s="9" t="n"/>
      <c r="B9" s="29" t="n"/>
      <c r="C9" s="9" t="n"/>
      <c r="D9" s="9" t="n"/>
      <c r="E9" s="9" t="n"/>
      <c r="F9" s="9" t="n"/>
      <c r="G9" s="9" t="n"/>
      <c r="H9" s="9" t="n"/>
      <c r="I9" s="9" t="n"/>
      <c r="J9" s="9" t="n"/>
      <c r="K9" s="9" t="n"/>
      <c r="L9" s="9" t="n"/>
      <c r="M9" s="9" t="n"/>
      <c r="N9" s="9" t="n"/>
      <c r="O9" s="9" t="n"/>
    </row>
    <row r="10" ht="15.5" customHeight="1">
      <c r="A10" s="9" t="n"/>
      <c r="B10" s="29" t="n"/>
      <c r="C10" s="9" t="n"/>
      <c r="D10" s="9" t="n"/>
      <c r="E10" s="9" t="n"/>
      <c r="F10" s="9" t="n"/>
      <c r="G10" s="9" t="n"/>
      <c r="H10" s="9" t="n"/>
      <c r="I10" s="9" t="n"/>
      <c r="J10" s="9" t="n"/>
      <c r="K10" s="9" t="n"/>
      <c r="L10" s="9" t="n"/>
      <c r="M10" s="9" t="n"/>
      <c r="N10" s="9" t="n"/>
      <c r="O10" s="9" t="n"/>
    </row>
    <row r="11" ht="15.5" customHeight="1">
      <c r="A11" s="9" t="n"/>
      <c r="B11" s="29" t="n"/>
      <c r="C11" s="9" t="n"/>
      <c r="D11" s="9" t="n"/>
      <c r="E11" s="9" t="n"/>
      <c r="F11" s="9" t="n"/>
      <c r="G11" s="9" t="n"/>
      <c r="H11" s="9" t="n"/>
      <c r="I11" s="9" t="n"/>
      <c r="J11" s="9" t="n"/>
      <c r="K11" s="9" t="n"/>
      <c r="L11" s="9" t="n"/>
      <c r="M11" s="9" t="n"/>
      <c r="N11" s="9" t="n"/>
      <c r="O11" s="9" t="n"/>
    </row>
    <row r="12" ht="15.5" customHeight="1">
      <c r="A12" s="9" t="n"/>
      <c r="B12" s="29" t="n"/>
      <c r="C12" s="9" t="n"/>
      <c r="D12" s="9" t="n"/>
      <c r="E12" s="9" t="n"/>
      <c r="F12" s="9" t="n"/>
      <c r="G12" s="9" t="n"/>
      <c r="H12" s="9" t="n"/>
      <c r="I12" s="9" t="n"/>
      <c r="J12" s="9" t="n"/>
      <c r="K12" s="9" t="n"/>
      <c r="L12" s="9" t="n"/>
      <c r="M12" s="9" t="n"/>
      <c r="N12" s="9" t="n"/>
      <c r="O12" s="9" t="n"/>
    </row>
    <row r="13" ht="15.5" customHeight="1">
      <c r="A13" s="9" t="n"/>
      <c r="B13" s="29" t="n"/>
      <c r="C13" s="9" t="n"/>
      <c r="D13" s="9" t="n"/>
      <c r="E13" s="9" t="n"/>
      <c r="F13" s="9" t="n"/>
      <c r="G13" s="9" t="n"/>
      <c r="H13" s="9" t="n"/>
      <c r="I13" s="9" t="n"/>
      <c r="J13" s="9" t="n"/>
      <c r="K13" s="9" t="n"/>
      <c r="L13" s="9" t="n"/>
      <c r="M13" s="9" t="n"/>
      <c r="N13" s="9" t="n"/>
      <c r="O13" s="9" t="n"/>
    </row>
    <row r="14" ht="15.5" customHeight="1">
      <c r="A14" s="9" t="n"/>
      <c r="B14" s="29" t="n"/>
      <c r="C14" s="9" t="n"/>
      <c r="D14" s="9" t="n"/>
      <c r="E14" s="9" t="n"/>
      <c r="F14" s="9" t="n"/>
      <c r="G14" s="9" t="n"/>
      <c r="H14" s="9" t="n"/>
      <c r="I14" s="9" t="n"/>
      <c r="J14" s="9" t="n"/>
      <c r="K14" s="9" t="n"/>
      <c r="L14" s="9" t="n"/>
      <c r="M14" s="9" t="n"/>
      <c r="N14" s="9" t="n"/>
      <c r="O14" s="9" t="n"/>
    </row>
    <row r="15" ht="15.5" customHeight="1">
      <c r="A15" s="9" t="n"/>
      <c r="B15" s="29" t="n"/>
      <c r="C15" s="9" t="n"/>
      <c r="D15" s="9" t="n"/>
      <c r="E15" s="9" t="n"/>
      <c r="F15" s="9" t="n"/>
      <c r="G15" s="9" t="n"/>
      <c r="H15" s="9" t="n"/>
      <c r="I15" s="9" t="n"/>
      <c r="J15" s="9" t="n"/>
      <c r="K15" s="9" t="n"/>
      <c r="L15" s="9" t="n"/>
      <c r="M15" s="9" t="n"/>
      <c r="N15" s="9" t="n"/>
      <c r="O15" s="9" t="n"/>
    </row>
    <row r="16" ht="15.5" customHeight="1">
      <c r="A16" s="9" t="n"/>
      <c r="B16" s="29" t="n"/>
      <c r="C16" s="9" t="n"/>
      <c r="D16" s="9" t="n"/>
      <c r="E16" s="9" t="n"/>
      <c r="F16" s="9" t="n"/>
      <c r="G16" s="9" t="n"/>
      <c r="H16" s="9" t="n"/>
      <c r="I16" s="9" t="n"/>
      <c r="J16" s="9" t="n"/>
      <c r="K16" s="9" t="n"/>
      <c r="L16" s="9" t="n"/>
      <c r="M16" s="9" t="n"/>
      <c r="N16" s="9" t="n"/>
      <c r="O16" s="9" t="n"/>
    </row>
    <row r="17" ht="15.5" customHeight="1">
      <c r="A17" s="9" t="n"/>
      <c r="B17" s="29" t="n"/>
      <c r="C17" s="9" t="n"/>
      <c r="D17" s="9" t="n"/>
      <c r="E17" s="9" t="n"/>
      <c r="F17" s="9" t="n"/>
      <c r="G17" s="9" t="n"/>
      <c r="H17" s="9" t="n"/>
      <c r="I17" s="9" t="n"/>
      <c r="J17" s="9" t="n"/>
      <c r="K17" s="9" t="n"/>
      <c r="L17" s="9" t="n"/>
      <c r="M17" s="9" t="n"/>
      <c r="N17" s="9" t="n"/>
      <c r="O17" s="9" t="n"/>
    </row>
    <row r="18" ht="15.5" customHeight="1">
      <c r="A18" s="9" t="n"/>
      <c r="B18" s="29" t="n"/>
      <c r="C18" s="9" t="n"/>
      <c r="D18" s="9" t="n"/>
      <c r="E18" s="9" t="n"/>
      <c r="F18" s="9" t="n"/>
      <c r="G18" s="9" t="n"/>
      <c r="H18" s="9" t="n"/>
      <c r="I18" s="9" t="n"/>
      <c r="J18" s="9" t="n"/>
      <c r="K18" s="9" t="n"/>
      <c r="L18" s="9" t="n"/>
      <c r="M18" s="9" t="n"/>
      <c r="N18" s="9" t="n"/>
      <c r="O18" s="9" t="n"/>
    </row>
    <row r="19" ht="15.5" customHeight="1">
      <c r="A19" s="9" t="n"/>
      <c r="B19" s="29" t="n"/>
      <c r="C19" s="9" t="n"/>
      <c r="D19" s="9" t="n"/>
      <c r="E19" s="9" t="n"/>
      <c r="F19" s="9" t="n"/>
      <c r="G19" s="9" t="n"/>
      <c r="H19" s="9" t="n"/>
      <c r="I19" s="9" t="n"/>
      <c r="J19" s="9" t="n"/>
      <c r="K19" s="9" t="n"/>
      <c r="L19" s="9" t="n"/>
      <c r="M19" s="9" t="n"/>
      <c r="N19" s="9" t="n"/>
      <c r="O19" s="9" t="n"/>
    </row>
    <row r="20" ht="15.5" customHeight="1">
      <c r="A20" s="9" t="n"/>
      <c r="B20" s="29" t="n"/>
      <c r="C20" s="9" t="n"/>
      <c r="D20" s="9" t="n"/>
      <c r="E20" s="9" t="n"/>
      <c r="F20" s="9" t="n"/>
      <c r="G20" s="9" t="n"/>
      <c r="H20" s="9" t="n"/>
      <c r="I20" s="9" t="n"/>
      <c r="J20" s="9" t="n"/>
      <c r="K20" s="9" t="n"/>
      <c r="L20" s="9" t="n"/>
      <c r="M20" s="9" t="n"/>
      <c r="N20" s="9" t="n"/>
      <c r="O20" s="9" t="n"/>
    </row>
    <row r="21">
      <c r="B21" s="27" t="n"/>
    </row>
    <row r="22">
      <c r="B22" s="27" t="n"/>
    </row>
    <row r="23">
      <c r="B23" s="27" t="n"/>
    </row>
    <row r="24">
      <c r="B24" s="27" t="n"/>
    </row>
    <row r="25">
      <c r="B25" s="27" t="n"/>
    </row>
  </sheetData>
  <conditionalFormatting sqref="A2:O25">
    <cfRule type="expression" priority="1" dxfId="1">
      <formula>MOD(ROW(), 2)=0</formula>
    </cfRule>
  </conditionalFormatting>
  <conditionalFormatting sqref="B1:O1">
    <cfRule type="expression" priority="2"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Vickers</dc:creator>
  <dcterms:created xsi:type="dcterms:W3CDTF">2025-05-21T12:11:51Z</dcterms:created>
  <dcterms:modified xsi:type="dcterms:W3CDTF">2026-05-26T13:21:04Z</dcterms:modified>
  <cp:lastModifiedBy>Mike Vickers</cp:lastModifiedBy>
</cp:coreProperties>
</file>